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Progetti\simple_excel_data_cleaning\excel\"/>
    </mc:Choice>
  </mc:AlternateContent>
  <xr:revisionPtr revIDLastSave="0" documentId="13_ncr:1_{D48A683B-5BA3-4915-A462-BD3E131A3344}" xr6:coauthVersionLast="47" xr6:coauthVersionMax="47" xr10:uidLastSave="{00000000-0000-0000-0000-000000000000}"/>
  <bookViews>
    <workbookView xWindow="-120" yWindow="-120" windowWidth="29040" windowHeight="15720" activeTab="1" xr2:uid="{3EA3B09A-5C18-41AC-846D-6C5EEEFBD0D7}"/>
  </bookViews>
  <sheets>
    <sheet name="RAW_IMPORT" sheetId="2" r:id="rId1"/>
    <sheet name="CLEAN_TABLE" sheetId="4" r:id="rId2"/>
    <sheet name="NOT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" i="4"/>
  <c r="E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" i="4"/>
  <c r="A2" i="3" a="1"/>
  <c r="A2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46D744-6A83-4B5B-9586-89A57BC7CAB6}" keepAlive="1" name="Query - dirty_dataset_original" description="Connection to the 'dirty_dataset_original' query in the workbook." type="5" refreshedVersion="0" background="1">
    <dbPr connection="Provider=Microsoft.Mashup.OleDb.1;Data Source=$Workbook$;Location=dirty_dataset_original;Extended Properties=&quot;&quot;" command="SELECT * FROM [dirty_dataset_original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<sst xmlns="http://schemas.openxmlformats.org/spreadsheetml/2006/main" count="227" uniqueCount="169">
  <si>
    <t>Rank</t>
  </si>
  <si>
    <t>Peak</t>
  </si>
  <si>
    <t>All Time Peak</t>
  </si>
  <si>
    <t>Actual gross</t>
  </si>
  <si>
    <t>Adjusted gross (in 2022 dollars)</t>
  </si>
  <si>
    <t>Artist</t>
  </si>
  <si>
    <t>Tour title</t>
  </si>
  <si>
    <t>Year(s)</t>
  </si>
  <si>
    <t>Shows</t>
  </si>
  <si>
    <t>Average gross</t>
  </si>
  <si>
    <t>Ref.</t>
  </si>
  <si>
    <t>1</t>
  </si>
  <si>
    <t>2</t>
  </si>
  <si>
    <t>$780,000,000</t>
  </si>
  <si>
    <t>Taylor Swift</t>
  </si>
  <si>
    <t>The Eras Tour †</t>
  </si>
  <si>
    <t>2023–2024</t>
  </si>
  <si>
    <t>$13,928,571</t>
  </si>
  <si>
    <t>[1]</t>
  </si>
  <si>
    <t>7[2]</t>
  </si>
  <si>
    <t>$579,800,000</t>
  </si>
  <si>
    <t>Beyoncé</t>
  </si>
  <si>
    <t>Renaissance World Tour</t>
  </si>
  <si>
    <t>2023</t>
  </si>
  <si>
    <t>$10,353,571</t>
  </si>
  <si>
    <t>[3]</t>
  </si>
  <si>
    <t>1[4]</t>
  </si>
  <si>
    <t>2[5]</t>
  </si>
  <si>
    <t>$411,000,000</t>
  </si>
  <si>
    <t>$560,622,615</t>
  </si>
  <si>
    <t>Madonna</t>
  </si>
  <si>
    <t>Sticky &amp; Sweet Tour ‡[4][a]</t>
  </si>
  <si>
    <t>2008–2009</t>
  </si>
  <si>
    <t>$4,835,294</t>
  </si>
  <si>
    <t>[6]</t>
  </si>
  <si>
    <t>2[7]</t>
  </si>
  <si>
    <t>10[7]</t>
  </si>
  <si>
    <t>$397,300,000</t>
  </si>
  <si>
    <t>$454,751,555</t>
  </si>
  <si>
    <t>Pink</t>
  </si>
  <si>
    <t>Beautiful Trauma World Tour</t>
  </si>
  <si>
    <t>2018–2019</t>
  </si>
  <si>
    <t>$2,546,795</t>
  </si>
  <si>
    <t>[7]</t>
  </si>
  <si>
    <t>2[4]</t>
  </si>
  <si>
    <t/>
  </si>
  <si>
    <t>$345,675,146</t>
  </si>
  <si>
    <t>$402,844,849</t>
  </si>
  <si>
    <t>Reputation Stadium Tour</t>
  </si>
  <si>
    <t>2018</t>
  </si>
  <si>
    <t>$6,522,173</t>
  </si>
  <si>
    <t>[8]</t>
  </si>
  <si>
    <t>10[9]</t>
  </si>
  <si>
    <t>$305,158,363</t>
  </si>
  <si>
    <t>$388,978,496</t>
  </si>
  <si>
    <t>The MDNA Tour</t>
  </si>
  <si>
    <t>2012</t>
  </si>
  <si>
    <t>$3,467,709</t>
  </si>
  <si>
    <t>[9]</t>
  </si>
  <si>
    <t>2[10]</t>
  </si>
  <si>
    <t>$280,000,000</t>
  </si>
  <si>
    <t>$381,932,682</t>
  </si>
  <si>
    <t>Celine Dion</t>
  </si>
  <si>
    <t>Taking Chances World Tour</t>
  </si>
  <si>
    <t>$2,137,405</t>
  </si>
  <si>
    <t>[11]</t>
  </si>
  <si>
    <t>$257,600,000</t>
  </si>
  <si>
    <t>Summer Carnival †</t>
  </si>
  <si>
    <t>$6,282,927</t>
  </si>
  <si>
    <t>[12]</t>
  </si>
  <si>
    <t>$256,084,556</t>
  </si>
  <si>
    <t>$312,258,401</t>
  </si>
  <si>
    <t>The Formation World Tour</t>
  </si>
  <si>
    <t>2016</t>
  </si>
  <si>
    <t>$5,226,215</t>
  </si>
  <si>
    <t>[13]</t>
  </si>
  <si>
    <t>$250,400,000</t>
  </si>
  <si>
    <t>$309,141,878</t>
  </si>
  <si>
    <t>The 1989 World Tour</t>
  </si>
  <si>
    <t>2015</t>
  </si>
  <si>
    <t>$2,945,882</t>
  </si>
  <si>
    <t>[14]</t>
  </si>
  <si>
    <t>$229,100,000[b]</t>
  </si>
  <si>
    <t>$283,202,896</t>
  </si>
  <si>
    <t>The Mrs. Carter Show World Tour</t>
  </si>
  <si>
    <t>2013–2014</t>
  </si>
  <si>
    <t>$1,735,606</t>
  </si>
  <si>
    <t>[15][16]</t>
  </si>
  <si>
    <t>14[17]</t>
  </si>
  <si>
    <t>$227,400,000</t>
  </si>
  <si>
    <t>$295,301,479</t>
  </si>
  <si>
    <t>Lady Gaga</t>
  </si>
  <si>
    <t>The Monster Ball Tour *</t>
  </si>
  <si>
    <t>2009–2011</t>
  </si>
  <si>
    <t>$1,118,227</t>
  </si>
  <si>
    <t>[18]</t>
  </si>
  <si>
    <t>$204,000,000</t>
  </si>
  <si>
    <t>$251,856,802</t>
  </si>
  <si>
    <t>Katy Perry</t>
  </si>
  <si>
    <t>Prismatic World Tour</t>
  </si>
  <si>
    <t>2014–2015</t>
  </si>
  <si>
    <t>$1,350,993</t>
  </si>
  <si>
    <t>[19]</t>
  </si>
  <si>
    <t>1[20]</t>
  </si>
  <si>
    <t>$200,000,000</t>
  </si>
  <si>
    <t>$299,676,265</t>
  </si>
  <si>
    <t>Cher</t>
  </si>
  <si>
    <t>Living Proof: The Farewell Tour ‡[21][a]</t>
  </si>
  <si>
    <t>2002–2005</t>
  </si>
  <si>
    <t>$615,385</t>
  </si>
  <si>
    <t>[20]</t>
  </si>
  <si>
    <t>2[c]</t>
  </si>
  <si>
    <t>$194,000,000</t>
  </si>
  <si>
    <t>$281,617,035</t>
  </si>
  <si>
    <t>Confessions Tour</t>
  </si>
  <si>
    <t>2006</t>
  </si>
  <si>
    <t>$3,233,333</t>
  </si>
  <si>
    <t>[5]</t>
  </si>
  <si>
    <t>$184,000,000</t>
  </si>
  <si>
    <t>$227,452,347</t>
  </si>
  <si>
    <t>The Truth About Love Tour</t>
  </si>
  <si>
    <t>$1,295,775</t>
  </si>
  <si>
    <t>[22]</t>
  </si>
  <si>
    <t>$170,000,000</t>
  </si>
  <si>
    <t>$213,568,571</t>
  </si>
  <si>
    <t>Born This Way Ball</t>
  </si>
  <si>
    <t>2012–2013</t>
  </si>
  <si>
    <t>$1,734,694</t>
  </si>
  <si>
    <t>[d]</t>
  </si>
  <si>
    <t>$169,800,000</t>
  </si>
  <si>
    <t>$207,046,755</t>
  </si>
  <si>
    <t>Rebel Heart Tour</t>
  </si>
  <si>
    <t>2015–2016</t>
  </si>
  <si>
    <t>$2,070,732</t>
  </si>
  <si>
    <t>[4]</t>
  </si>
  <si>
    <t>$167,700,000[e]</t>
  </si>
  <si>
    <t>$204,486,106</t>
  </si>
  <si>
    <t>Adele</t>
  </si>
  <si>
    <t>Adele Live 2016</t>
  </si>
  <si>
    <t>2016–2017</t>
  </si>
  <si>
    <t>$1,385,950</t>
  </si>
  <si>
    <t>[25]</t>
  </si>
  <si>
    <t>$150,000,000</t>
  </si>
  <si>
    <t>$185,423,109</t>
  </si>
  <si>
    <t>The Red Tour</t>
  </si>
  <si>
    <t>$1,744,186</t>
  </si>
  <si>
    <t>[26]</t>
  </si>
  <si>
    <t>Column</t>
  </si>
  <si>
    <t>Cleaning action</t>
  </si>
  <si>
    <t>Issue Observed</t>
  </si>
  <si>
    <t>None required.</t>
  </si>
  <si>
    <t>Values contained bracketed notes.Numbers were interpreted as text because of the brackets. Presence of potential invisible characters.</t>
  </si>
  <si>
    <t>Removed all bracketed notes using regex.
Applied CLEAN and TRIM to remove invisible characters and extra spaces. Converted the cleaned string into a numeric value.</t>
  </si>
  <si>
    <t>Values contained bracketed notes.
Because of the brackets, numbers were stored as text.
Possible presence of invisible characters.</t>
  </si>
  <si>
    <t>Removed all bracketed notes using a regex pattern.
Applied CLEAN and TRIM to remove invisible characters and extra spaces. Converted the cleaned string into a numeric value.</t>
  </si>
  <si>
    <t>No issues detected. 
Column contains clean integer values.</t>
  </si>
  <si>
    <t>Values contained:
- Dollar signs ($)
- Commas used as thousand separators
- Bracketed notes
Because of these symbols, numbers were stored as text.</t>
  </si>
  <si>
    <t>Removed all bracketed notes using a regex pattern.
Removed $ and , characters.
Converted the cleaned string into a numeric value.</t>
  </si>
  <si>
    <t>No issues detected. 
Column contains clean string values.</t>
  </si>
  <si>
    <t>Presence of bracketed notes.
Presence of special symbols such as *, †, and other non‑alphanumeric characters.
Occasional invisible characters or extra spaces.</t>
  </si>
  <si>
    <t>Removed all bracketed notes using a regex pattern.
Removed all non‑alphanumeric symbols except:
spaces, periods, commas, apostrophes, hyphens
Applied CLEAN and TRIM to remove invisible characters and extra spaces.</t>
  </si>
  <si>
    <t>Column contains two different formats:
Single years and Year ranges
Values stored as text, not numbers.</t>
  </si>
  <si>
    <t>Split the column into two new numeric fields:
- StartYear
- EndYear
Extracted the first 4 digits for StartYear, the last 4 digits for EndYear, or duplicated StartYear when no range was present. Ensured both outputs were numeric.</t>
  </si>
  <si>
    <t>Values contained:
- Dollar signs ($)
- Commas used as thousand separators
Because of these symbols, numbers were stored as text.</t>
  </si>
  <si>
    <t>Removed $ and , characters.
Converted the cleaned string into a numeric value.</t>
  </si>
  <si>
    <t xml:space="preserve">Column contains only reference markers in brackets.
These values are not part of the dataset and have no analytical meaning.
They originate from web‑scraping artifacts </t>
  </si>
  <si>
    <t xml:space="preserve">Decided that the column is not relevant for analysis.
</t>
  </si>
  <si>
    <t>Start year</t>
  </si>
  <si>
    <t>End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</si>
</sst>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_ ;_-[$$-409]* \-#,##0\ ;_-[$$-409]* &quot;-&quot;??_ ;_-@_ "/>
    <numFmt numFmtId="165" formatCode="_-[$$-409]* #,##0.00_ ;_-[$$-409]* \-#,##0.00\ ;_-[$$-409]* &quot;-&quot;??_ ;_-@_ "/>
  </numFmts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49" fontId="0" fillId="0" borderId="0" xfId="0" applyNumberFormat="1"/>
  </cellXfs>
  <cellStyles count="1">
    <cellStyle name="Normal" xfId="0" builtinId="0"/>
  </cellStyles>
  <dxfs count="12">
    <dxf>
      <numFmt numFmtId="1" formatCode="0"/>
    </dxf>
    <dxf>
      <numFmt numFmtId="164" formatCode="_-[$$-409]* #,##0_ ;_-[$$-409]* \-#,##0\ ;_-[$$-409]* &quot;-&quot;??_ ;_-@_ 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164" formatCode="_-[$$-409]* #,##0_ ;_-[$$-409]* \-#,##0\ ;_-[$$-409]* &quot;-&quot;??_ ;_-@_ "/>
    </dxf>
    <dxf>
      <numFmt numFmtId="164" formatCode="_-[$$-409]* #,##0_ ;_-[$$-409]* \-#,##0\ ;_-[$$-409]* &quot;-&quot;??_ ;_-@_ 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006C7D-CC60-4B5A-AF47-99FE0C2641BF}" name="Table1" displayName="Table1" ref="A1:K21" totalsRowShown="0">
  <autoFilter ref="A1:K21" xr:uid="{4B006C7D-CC60-4B5A-AF47-99FE0C2641BF}"/>
  <tableColumns count="11">
    <tableColumn id="1" xr3:uid="{E390546C-E919-44C3-88F1-31DB7CCB7CE7}" name="Rank"/>
    <tableColumn id="2" xr3:uid="{8C92C471-9CF3-44D4-81AE-F36473CB08E3}" name="Peak"/>
    <tableColumn id="3" xr3:uid="{E3FC2D7C-E956-46D1-9974-4C351297358F}" name="All Time Peak"/>
    <tableColumn id="4" xr3:uid="{0A0DB397-FA84-4E79-B84A-B45B4CECAA6C}" name="Actual gross"/>
    <tableColumn id="5" xr3:uid="{9A2A43DB-F53C-45AE-8C24-42B58F9C21A2}" name="Adjusted gross (in 2022 dollars)"/>
    <tableColumn id="6" xr3:uid="{AF8DC804-1384-44E2-BFB0-0CF3E89E5094}" name="Artist"/>
    <tableColumn id="7" xr3:uid="{DEE1C709-67C4-46F7-BCF3-451BF6FF6AB9}" name="Tour title"/>
    <tableColumn id="8" xr3:uid="{0A61D279-844E-411F-B022-B42777784681}" name="Year(s)"/>
    <tableColumn id="9" xr3:uid="{80B209A8-44E6-4FC2-A888-A140D734EB64}" name="Shows"/>
    <tableColumn id="10" xr3:uid="{6420A56E-938E-4D0E-BDA5-52D64248FB78}" name="Average gross"/>
    <tableColumn id="11" xr3:uid="{6F1BFC7E-6E58-42F9-866B-18793D9A4D8E}" name="Ref.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0FF08E2-7379-4649-ADAB-E2FE0589E082}" name="clean_table" displayName="clean_table" ref="A1:K21" totalsRowShown="0" headerRowDxfId="0">
  <autoFilter ref="A1:K21" xr:uid="{80FF08E2-7379-4649-ADAB-E2FE0589E082}"/>
  <tableColumns count="11">
    <tableColumn id="1" xr3:uid="{C9D6FF64-A72E-473B-A980-7E6BD4090856}" name="Rank" dataDxfId="11">
      <calculatedColumnFormula>RAW_IMPORT!A2</calculatedColumnFormula>
    </tableColumn>
    <tableColumn id="2" xr3:uid="{FB4319A3-984A-4346-AD21-F725D87AE28F}" name="Peak" dataDxfId="10">
      <calculatedColumnFormula>IF(RAW_IMPORT!B2="","", VALUE(TRIM(CLEAN(_xlfn.REGEXREPLACE(RAW_IMPORT!B2, "\[.*?\]", "")))))</calculatedColumnFormula>
    </tableColumn>
    <tableColumn id="3" xr3:uid="{DB17D838-EA87-47EB-9BB2-D762D56C3801}" name="All Time Peak" dataDxfId="9">
      <calculatedColumnFormula>IF(RAW_IMPORT!C2="","", VALUE(TRIM(CLEAN(_xlfn.REGEXREPLACE(RAW_IMPORT!C2, "\[.*?\]", "")))))</calculatedColumnFormula>
    </tableColumn>
    <tableColumn id="4" xr3:uid="{6C37ADA2-1BDA-4A06-8A9C-B29501472A40}" name="Actual gross" dataDxfId="8">
      <calculatedColumnFormula>VALUE(SUBSTITUTE(SUBSTITUTE(_xlfn.REGEXREPLACE(RAW_IMPORT!D2, "\[.*?\]", ""), "$", ""), ",", ""))</calculatedColumnFormula>
    </tableColumn>
    <tableColumn id="5" xr3:uid="{9DD0C6A0-E116-404F-A201-685625AE01B9}" name="Adjusted gross (in 2022 dollars)" dataDxfId="7">
      <calculatedColumnFormula>VALUE(SUBSTITUTE(SUBSTITUTE(_xlfn.REGEXREPLACE(RAW_IMPORT!E2, "\[.*?\]", ""), "$", ""), ",", ""))</calculatedColumnFormula>
    </tableColumn>
    <tableColumn id="6" xr3:uid="{95CB24ED-8DEA-4D57-B5D2-6910EDBFC864}" name="Artist" dataDxfId="6">
      <calculatedColumnFormula>RAW_IMPORT!F2</calculatedColumnFormula>
    </tableColumn>
    <tableColumn id="7" xr3:uid="{5815BD65-2B7D-4C5D-B1CE-5AAA0A32C084}" name="Tour title" dataDxfId="5">
      <calculatedColumnFormula>IF(RAW_IMPORT!G2="","",TRIM(CLEAN(_xlfn.REGEXREPLACE(_xlfn.REGEXREPLACE(RAW_IMPORT!G2, "\[.*?\]", ""),"[^A-Za-z0-9 .,'’\-]", ""))))</calculatedColumnFormula>
    </tableColumn>
    <tableColumn id="8" xr3:uid="{F3A72CE7-5604-4B4D-89C0-14F3E720552B}" name="Start year" dataDxfId="4">
      <calculatedColumnFormula>IF(RAW_IMPORT!H2="","", VALUE(LEFT(RAW_IMPORT!H2,4)))</calculatedColumnFormula>
    </tableColumn>
    <tableColumn id="9" xr3:uid="{D21C8538-8233-4E2F-8178-14C2AD28BA54}" name="End year" dataDxfId="3">
      <calculatedColumnFormula>IF(RAW_IMPORT!H2="","", VALUE(RIGHT(RAW_IMPORT!H2,4)))</calculatedColumnFormula>
    </tableColumn>
    <tableColumn id="10" xr3:uid="{027BD481-1C48-4E59-B8FA-9439B8A735B0}" name="Shows" dataDxfId="2">
      <calculatedColumnFormula>RAW_IMPORT!I2</calculatedColumnFormula>
    </tableColumn>
    <tableColumn id="11" xr3:uid="{1C2FC3C4-BA77-42A5-8A04-F2B3867F4DC1}" name="Average gross" dataDxfId="1">
      <calculatedColumnFormula>VALUE(SUBSTITUTE(SUBSTITUTE(_xlfn.REGEXREPLACE(RAW_IMPORT!J2, "\[.*?\]", ""), "$", ""), ",", ""))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79163-B067-4516-A281-A8B0E89B561D}">
  <dimension ref="A1:K21"/>
  <sheetViews>
    <sheetView workbookViewId="0">
      <selection activeCell="C25" sqref="C25"/>
    </sheetView>
  </sheetViews>
  <sheetFormatPr defaultRowHeight="15" x14ac:dyDescent="0.25"/>
  <cols>
    <col min="1" max="1" width="7.7109375" bestFit="1" customWidth="1"/>
    <col min="2" max="2" width="7.5703125" bestFit="1" customWidth="1"/>
    <col min="3" max="3" width="15.140625" bestFit="1" customWidth="1"/>
    <col min="4" max="4" width="14.5703125" bestFit="1" customWidth="1"/>
    <col min="5" max="5" width="31.7109375" bestFit="1" customWidth="1"/>
    <col min="6" max="6" width="11" bestFit="1" customWidth="1"/>
    <col min="7" max="7" width="35" bestFit="1" customWidth="1"/>
    <col min="8" max="8" width="9.85546875" bestFit="1" customWidth="1"/>
    <col min="10" max="10" width="15.85546875" bestFit="1" customWidth="1"/>
    <col min="11" max="11" width="7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>
        <v>56</v>
      </c>
      <c r="J2" t="s">
        <v>17</v>
      </c>
      <c r="K2" t="s">
        <v>18</v>
      </c>
    </row>
    <row r="3" spans="1:11" x14ac:dyDescent="0.25">
      <c r="A3">
        <v>2</v>
      </c>
      <c r="B3" t="s">
        <v>11</v>
      </c>
      <c r="C3" t="s">
        <v>19</v>
      </c>
      <c r="D3" t="s">
        <v>20</v>
      </c>
      <c r="E3" t="s">
        <v>20</v>
      </c>
      <c r="F3" t="s">
        <v>21</v>
      </c>
      <c r="G3" t="s">
        <v>22</v>
      </c>
      <c r="H3" t="s">
        <v>23</v>
      </c>
      <c r="I3">
        <v>56</v>
      </c>
      <c r="J3" t="s">
        <v>24</v>
      </c>
      <c r="K3" t="s">
        <v>25</v>
      </c>
    </row>
    <row r="4" spans="1:11" x14ac:dyDescent="0.25">
      <c r="A4">
        <v>3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>
        <v>85</v>
      </c>
      <c r="J4" t="s">
        <v>33</v>
      </c>
      <c r="K4" t="s">
        <v>34</v>
      </c>
    </row>
    <row r="5" spans="1:11" x14ac:dyDescent="0.25">
      <c r="A5">
        <v>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>
        <v>156</v>
      </c>
      <c r="J5" t="s">
        <v>42</v>
      </c>
      <c r="K5" t="s">
        <v>43</v>
      </c>
    </row>
    <row r="6" spans="1:11" x14ac:dyDescent="0.25">
      <c r="A6">
        <v>5</v>
      </c>
      <c r="B6" t="s">
        <v>44</v>
      </c>
      <c r="C6" t="s">
        <v>45</v>
      </c>
      <c r="D6" t="s">
        <v>46</v>
      </c>
      <c r="E6" t="s">
        <v>47</v>
      </c>
      <c r="F6" t="s">
        <v>14</v>
      </c>
      <c r="G6" t="s">
        <v>48</v>
      </c>
      <c r="H6" t="s">
        <v>49</v>
      </c>
      <c r="I6">
        <v>53</v>
      </c>
      <c r="J6" t="s">
        <v>50</v>
      </c>
      <c r="K6" t="s">
        <v>51</v>
      </c>
    </row>
    <row r="7" spans="1:11" x14ac:dyDescent="0.25">
      <c r="A7">
        <v>6</v>
      </c>
      <c r="B7" t="s">
        <v>44</v>
      </c>
      <c r="C7" t="s">
        <v>52</v>
      </c>
      <c r="D7" t="s">
        <v>53</v>
      </c>
      <c r="E7" t="s">
        <v>54</v>
      </c>
      <c r="F7" t="s">
        <v>30</v>
      </c>
      <c r="G7" t="s">
        <v>55</v>
      </c>
      <c r="H7" t="s">
        <v>56</v>
      </c>
      <c r="I7">
        <v>88</v>
      </c>
      <c r="J7" t="s">
        <v>57</v>
      </c>
      <c r="K7" t="s">
        <v>58</v>
      </c>
    </row>
    <row r="8" spans="1:11" x14ac:dyDescent="0.25">
      <c r="A8">
        <v>7</v>
      </c>
      <c r="B8" t="s">
        <v>59</v>
      </c>
      <c r="C8" t="s">
        <v>45</v>
      </c>
      <c r="D8" t="s">
        <v>60</v>
      </c>
      <c r="E8" t="s">
        <v>61</v>
      </c>
      <c r="F8" t="s">
        <v>62</v>
      </c>
      <c r="G8" t="s">
        <v>63</v>
      </c>
      <c r="H8" t="s">
        <v>32</v>
      </c>
      <c r="I8">
        <v>131</v>
      </c>
      <c r="J8" t="s">
        <v>64</v>
      </c>
      <c r="K8" t="s">
        <v>65</v>
      </c>
    </row>
    <row r="9" spans="1:11" x14ac:dyDescent="0.25">
      <c r="A9">
        <v>7</v>
      </c>
      <c r="B9" t="s">
        <v>45</v>
      </c>
      <c r="C9" t="s">
        <v>45</v>
      </c>
      <c r="D9" t="s">
        <v>66</v>
      </c>
      <c r="E9" t="s">
        <v>66</v>
      </c>
      <c r="F9" t="s">
        <v>39</v>
      </c>
      <c r="G9" t="s">
        <v>67</v>
      </c>
      <c r="H9" t="s">
        <v>16</v>
      </c>
      <c r="I9">
        <v>41</v>
      </c>
      <c r="J9" t="s">
        <v>68</v>
      </c>
      <c r="K9" t="s">
        <v>69</v>
      </c>
    </row>
    <row r="10" spans="1:11" x14ac:dyDescent="0.25">
      <c r="A10">
        <v>9</v>
      </c>
      <c r="B10" t="s">
        <v>45</v>
      </c>
      <c r="C10" t="s">
        <v>45</v>
      </c>
      <c r="D10" t="s">
        <v>70</v>
      </c>
      <c r="E10" t="s">
        <v>71</v>
      </c>
      <c r="F10" t="s">
        <v>21</v>
      </c>
      <c r="G10" t="s">
        <v>72</v>
      </c>
      <c r="H10" t="s">
        <v>73</v>
      </c>
      <c r="I10">
        <v>49</v>
      </c>
      <c r="J10" t="s">
        <v>74</v>
      </c>
      <c r="K10" t="s">
        <v>75</v>
      </c>
    </row>
    <row r="11" spans="1:11" x14ac:dyDescent="0.25">
      <c r="A11">
        <v>10</v>
      </c>
      <c r="B11" t="s">
        <v>45</v>
      </c>
      <c r="C11" t="s">
        <v>45</v>
      </c>
      <c r="D11" t="s">
        <v>76</v>
      </c>
      <c r="E11" t="s">
        <v>77</v>
      </c>
      <c r="F11" t="s">
        <v>14</v>
      </c>
      <c r="G11" t="s">
        <v>78</v>
      </c>
      <c r="H11" t="s">
        <v>79</v>
      </c>
      <c r="I11">
        <v>85</v>
      </c>
      <c r="J11" t="s">
        <v>80</v>
      </c>
      <c r="K11" t="s">
        <v>81</v>
      </c>
    </row>
    <row r="12" spans="1:11" x14ac:dyDescent="0.25">
      <c r="A12">
        <v>11</v>
      </c>
      <c r="B12" t="s">
        <v>45</v>
      </c>
      <c r="C12" t="s">
        <v>45</v>
      </c>
      <c r="D12" t="s">
        <v>82</v>
      </c>
      <c r="E12" t="s">
        <v>83</v>
      </c>
      <c r="F12" t="s">
        <v>21</v>
      </c>
      <c r="G12" t="s">
        <v>84</v>
      </c>
      <c r="H12" t="s">
        <v>85</v>
      </c>
      <c r="I12">
        <v>132</v>
      </c>
      <c r="J12" t="s">
        <v>86</v>
      </c>
      <c r="K12" t="s">
        <v>87</v>
      </c>
    </row>
    <row r="13" spans="1:11" x14ac:dyDescent="0.25">
      <c r="A13">
        <v>12</v>
      </c>
      <c r="B13" t="s">
        <v>45</v>
      </c>
      <c r="C13" t="s">
        <v>88</v>
      </c>
      <c r="D13" t="s">
        <v>89</v>
      </c>
      <c r="E13" t="s">
        <v>90</v>
      </c>
      <c r="F13" t="s">
        <v>91</v>
      </c>
      <c r="G13" t="s">
        <v>92</v>
      </c>
      <c r="H13" t="s">
        <v>93</v>
      </c>
      <c r="I13">
        <v>203</v>
      </c>
      <c r="J13" t="s">
        <v>94</v>
      </c>
      <c r="K13" t="s">
        <v>95</v>
      </c>
    </row>
    <row r="14" spans="1:11" x14ac:dyDescent="0.25">
      <c r="A14">
        <v>13</v>
      </c>
      <c r="B14" t="s">
        <v>45</v>
      </c>
      <c r="C14" t="s">
        <v>45</v>
      </c>
      <c r="D14" t="s">
        <v>96</v>
      </c>
      <c r="E14" t="s">
        <v>97</v>
      </c>
      <c r="F14" t="s">
        <v>98</v>
      </c>
      <c r="G14" t="s">
        <v>99</v>
      </c>
      <c r="H14" t="s">
        <v>100</v>
      </c>
      <c r="I14">
        <v>151</v>
      </c>
      <c r="J14" t="s">
        <v>101</v>
      </c>
      <c r="K14" t="s">
        <v>102</v>
      </c>
    </row>
    <row r="15" spans="1:11" x14ac:dyDescent="0.25">
      <c r="A15">
        <v>14</v>
      </c>
      <c r="B15" t="s">
        <v>103</v>
      </c>
      <c r="C15" t="s">
        <v>45</v>
      </c>
      <c r="D15" t="s">
        <v>104</v>
      </c>
      <c r="E15" t="s">
        <v>105</v>
      </c>
      <c r="F15" t="s">
        <v>106</v>
      </c>
      <c r="G15" t="s">
        <v>107</v>
      </c>
      <c r="H15" t="s">
        <v>108</v>
      </c>
      <c r="I15">
        <v>325</v>
      </c>
      <c r="J15" t="s">
        <v>109</v>
      </c>
      <c r="K15" t="s">
        <v>110</v>
      </c>
    </row>
    <row r="16" spans="1:11" x14ac:dyDescent="0.25">
      <c r="A16">
        <v>15</v>
      </c>
      <c r="B16" t="s">
        <v>111</v>
      </c>
      <c r="C16" t="s">
        <v>45</v>
      </c>
      <c r="D16" t="s">
        <v>112</v>
      </c>
      <c r="E16" t="s">
        <v>113</v>
      </c>
      <c r="F16" t="s">
        <v>30</v>
      </c>
      <c r="G16" t="s">
        <v>114</v>
      </c>
      <c r="H16" t="s">
        <v>115</v>
      </c>
      <c r="I16">
        <v>60</v>
      </c>
      <c r="J16" t="s">
        <v>116</v>
      </c>
      <c r="K16" t="s">
        <v>117</v>
      </c>
    </row>
    <row r="17" spans="1:11" x14ac:dyDescent="0.25">
      <c r="A17">
        <v>16</v>
      </c>
      <c r="B17" t="s">
        <v>45</v>
      </c>
      <c r="C17" t="s">
        <v>45</v>
      </c>
      <c r="D17" t="s">
        <v>118</v>
      </c>
      <c r="E17" t="s">
        <v>119</v>
      </c>
      <c r="F17" t="s">
        <v>39</v>
      </c>
      <c r="G17" t="s">
        <v>120</v>
      </c>
      <c r="H17" t="s">
        <v>85</v>
      </c>
      <c r="I17">
        <v>142</v>
      </c>
      <c r="J17" t="s">
        <v>121</v>
      </c>
      <c r="K17" t="s">
        <v>122</v>
      </c>
    </row>
    <row r="18" spans="1:11" x14ac:dyDescent="0.25">
      <c r="A18">
        <v>17</v>
      </c>
      <c r="B18" t="s">
        <v>45</v>
      </c>
      <c r="C18" t="s">
        <v>45</v>
      </c>
      <c r="D18" t="s">
        <v>123</v>
      </c>
      <c r="E18" t="s">
        <v>124</v>
      </c>
      <c r="F18" t="s">
        <v>91</v>
      </c>
      <c r="G18" t="s">
        <v>125</v>
      </c>
      <c r="H18" t="s">
        <v>126</v>
      </c>
      <c r="I18">
        <v>98</v>
      </c>
      <c r="J18" t="s">
        <v>127</v>
      </c>
      <c r="K18" t="s">
        <v>128</v>
      </c>
    </row>
    <row r="19" spans="1:11" x14ac:dyDescent="0.25">
      <c r="A19">
        <v>18</v>
      </c>
      <c r="B19" t="s">
        <v>45</v>
      </c>
      <c r="C19" t="s">
        <v>45</v>
      </c>
      <c r="D19" t="s">
        <v>129</v>
      </c>
      <c r="E19" t="s">
        <v>130</v>
      </c>
      <c r="F19" t="s">
        <v>30</v>
      </c>
      <c r="G19" t="s">
        <v>131</v>
      </c>
      <c r="H19" t="s">
        <v>132</v>
      </c>
      <c r="I19">
        <v>82</v>
      </c>
      <c r="J19" t="s">
        <v>133</v>
      </c>
      <c r="K19" t="s">
        <v>134</v>
      </c>
    </row>
    <row r="20" spans="1:11" x14ac:dyDescent="0.25">
      <c r="A20">
        <v>19</v>
      </c>
      <c r="B20" t="s">
        <v>45</v>
      </c>
      <c r="C20" t="s">
        <v>45</v>
      </c>
      <c r="D20" t="s">
        <v>135</v>
      </c>
      <c r="E20" t="s">
        <v>136</v>
      </c>
      <c r="F20" t="s">
        <v>137</v>
      </c>
      <c r="G20" t="s">
        <v>138</v>
      </c>
      <c r="H20" t="s">
        <v>139</v>
      </c>
      <c r="I20">
        <v>121</v>
      </c>
      <c r="J20" t="s">
        <v>140</v>
      </c>
      <c r="K20" t="s">
        <v>141</v>
      </c>
    </row>
    <row r="21" spans="1:11" x14ac:dyDescent="0.25">
      <c r="A21">
        <v>20</v>
      </c>
      <c r="B21" t="s">
        <v>45</v>
      </c>
      <c r="C21" t="s">
        <v>45</v>
      </c>
      <c r="D21" t="s">
        <v>142</v>
      </c>
      <c r="E21" t="s">
        <v>143</v>
      </c>
      <c r="F21" t="s">
        <v>14</v>
      </c>
      <c r="G21" t="s">
        <v>144</v>
      </c>
      <c r="H21" t="s">
        <v>85</v>
      </c>
      <c r="I21">
        <v>86</v>
      </c>
      <c r="J21" t="s">
        <v>145</v>
      </c>
      <c r="K21" t="s">
        <v>146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AA391-F3A3-4B1F-9ECC-723E9764581A}">
  <dimension ref="A1:L21"/>
  <sheetViews>
    <sheetView tabSelected="1" workbookViewId="0">
      <selection activeCell="N14" sqref="N14"/>
    </sheetView>
  </sheetViews>
  <sheetFormatPr defaultRowHeight="15" x14ac:dyDescent="0.25"/>
  <cols>
    <col min="1" max="1" width="7.5703125" style="1" customWidth="1"/>
    <col min="2" max="2" width="7.42578125" style="1" customWidth="1"/>
    <col min="3" max="3" width="15" style="1" customWidth="1"/>
    <col min="4" max="4" width="16" style="2" bestFit="1" customWidth="1"/>
    <col min="5" max="5" width="32.140625" style="2" customWidth="1"/>
    <col min="6" max="6" width="11" style="10" bestFit="1" customWidth="1"/>
    <col min="7" max="7" width="30.140625" style="10" bestFit="1" customWidth="1"/>
    <col min="8" max="8" width="11.7109375" style="1" customWidth="1"/>
    <col min="9" max="9" width="10.85546875" style="1" customWidth="1"/>
    <col min="10" max="10" width="9" style="1" customWidth="1"/>
    <col min="11" max="11" width="16.7109375" style="2" customWidth="1"/>
    <col min="12" max="12" width="22.85546875" style="3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0" t="s">
        <v>5</v>
      </c>
      <c r="G1" s="10" t="s">
        <v>6</v>
      </c>
      <c r="H1" s="1" t="s">
        <v>167</v>
      </c>
      <c r="I1" s="1" t="s">
        <v>168</v>
      </c>
      <c r="J1" s="1" t="s">
        <v>8</v>
      </c>
      <c r="K1" s="2" t="s">
        <v>9</v>
      </c>
      <c r="L1"/>
    </row>
    <row r="2" spans="1:12" x14ac:dyDescent="0.25">
      <c r="A2" s="1">
        <f>RAW_IMPORT!A2</f>
        <v>1</v>
      </c>
      <c r="B2" s="1">
        <f>IF(RAW_IMPORT!B2="","", VALUE(TRIM(CLEAN(_xlfn.REGEXREPLACE(RAW_IMPORT!B2, "\[.*?\]", "")))))</f>
        <v>1</v>
      </c>
      <c r="C2" s="1">
        <f>IF(RAW_IMPORT!C2="","", VALUE(TRIM(CLEAN(_xlfn.REGEXREPLACE(RAW_IMPORT!C2, "\[.*?\]", "")))))</f>
        <v>2</v>
      </c>
      <c r="D2" s="2">
        <f>VALUE(SUBSTITUTE(SUBSTITUTE(_xlfn.REGEXREPLACE(RAW_IMPORT!D2, "\[.*?\]", ""), "$", ""), ",", ""))</f>
        <v>780000000</v>
      </c>
      <c r="E2" s="2">
        <f>VALUE(SUBSTITUTE(SUBSTITUTE(_xlfn.REGEXREPLACE(RAW_IMPORT!E2, "\[.*?\]", ""), "$", ""), ",", ""))</f>
        <v>780000000</v>
      </c>
      <c r="F2" s="10" t="str">
        <f>RAW_IMPORT!F2</f>
        <v>Taylor Swift</v>
      </c>
      <c r="G2" s="10" t="str">
        <f>IF(RAW_IMPORT!G2="","",TRIM(CLEAN(_xlfn.REGEXREPLACE(_xlfn.REGEXREPLACE(RAW_IMPORT!G2, "\[.*?\]", ""),"[^A-Za-z0-9 .,'’\-]", ""))))</f>
        <v>The Eras Tour</v>
      </c>
      <c r="H2" s="1">
        <f>IF(RAW_IMPORT!H2="","", VALUE(LEFT(RAW_IMPORT!H2,4)))</f>
        <v>2023</v>
      </c>
      <c r="I2" s="1">
        <f>IF(RAW_IMPORT!H2="","", VALUE(RIGHT(RAW_IMPORT!H2,4)))</f>
        <v>2024</v>
      </c>
      <c r="J2" s="1">
        <f>RAW_IMPORT!I2</f>
        <v>56</v>
      </c>
      <c r="K2" s="2">
        <f>VALUE(SUBSTITUTE(SUBSTITUTE(_xlfn.REGEXREPLACE(RAW_IMPORT!J2, "\[.*?\]", ""), "$", ""), ",", ""))</f>
        <v>13928571</v>
      </c>
      <c r="L2"/>
    </row>
    <row r="3" spans="1:12" x14ac:dyDescent="0.25">
      <c r="A3" s="1">
        <f>RAW_IMPORT!A3</f>
        <v>2</v>
      </c>
      <c r="B3" s="1">
        <f>IF(RAW_IMPORT!B3="","", VALUE(TRIM(CLEAN(_xlfn.REGEXREPLACE(RAW_IMPORT!B3, "\[.*?\]", "")))))</f>
        <v>1</v>
      </c>
      <c r="C3" s="1">
        <f>IF(RAW_IMPORT!C3="","", VALUE(TRIM(CLEAN(_xlfn.REGEXREPLACE(RAW_IMPORT!C3, "\[.*?\]", "")))))</f>
        <v>7</v>
      </c>
      <c r="D3" s="2">
        <f>VALUE(SUBSTITUTE(SUBSTITUTE(_xlfn.REGEXREPLACE(RAW_IMPORT!D3, "\[.*?\]", ""), "$", ""), ",", ""))</f>
        <v>579800000</v>
      </c>
      <c r="E3" s="2">
        <f>VALUE(SUBSTITUTE(SUBSTITUTE(_xlfn.REGEXREPLACE(RAW_IMPORT!E3, "\[.*?\]", ""), "$", ""), ",", ""))</f>
        <v>579800000</v>
      </c>
      <c r="F3" s="10" t="str">
        <f>RAW_IMPORT!F3</f>
        <v>Beyoncé</v>
      </c>
      <c r="G3" s="10" t="str">
        <f>IF(RAW_IMPORT!G3="","",TRIM(CLEAN(_xlfn.REGEXREPLACE(_xlfn.REGEXREPLACE(RAW_IMPORT!G3, "\[.*?\]", ""),"[^A-Za-z0-9 .,'’\-]", ""))))</f>
        <v>Renaissance World Tour</v>
      </c>
      <c r="H3" s="1">
        <f>IF(RAW_IMPORT!H3="","", VALUE(LEFT(RAW_IMPORT!H3,4)))</f>
        <v>2023</v>
      </c>
      <c r="I3" s="1">
        <f>IF(RAW_IMPORT!H3="","", VALUE(RIGHT(RAW_IMPORT!H3,4)))</f>
        <v>2023</v>
      </c>
      <c r="J3" s="1">
        <f>RAW_IMPORT!I3</f>
        <v>56</v>
      </c>
      <c r="K3" s="2">
        <f>VALUE(SUBSTITUTE(SUBSTITUTE(_xlfn.REGEXREPLACE(RAW_IMPORT!J3, "\[.*?\]", ""), "$", ""), ",", ""))</f>
        <v>10353571</v>
      </c>
      <c r="L3"/>
    </row>
    <row r="4" spans="1:12" x14ac:dyDescent="0.25">
      <c r="A4" s="1">
        <f>RAW_IMPORT!A4</f>
        <v>3</v>
      </c>
      <c r="B4" s="1">
        <f>IF(RAW_IMPORT!B4="","", VALUE(TRIM(CLEAN(_xlfn.REGEXREPLACE(RAW_IMPORT!B4, "\[.*?\]", "")))))</f>
        <v>1</v>
      </c>
      <c r="C4" s="1">
        <f>IF(RAW_IMPORT!C4="","", VALUE(TRIM(CLEAN(_xlfn.REGEXREPLACE(RAW_IMPORT!C4, "\[.*?\]", "")))))</f>
        <v>2</v>
      </c>
      <c r="D4" s="2">
        <f>VALUE(SUBSTITUTE(SUBSTITUTE(_xlfn.REGEXREPLACE(RAW_IMPORT!D4, "\[.*?\]", ""), "$", ""), ",", ""))</f>
        <v>411000000</v>
      </c>
      <c r="E4" s="2">
        <f>VALUE(SUBSTITUTE(SUBSTITUTE(_xlfn.REGEXREPLACE(RAW_IMPORT!E4, "\[.*?\]", ""), "$", ""), ",", ""))</f>
        <v>560622615</v>
      </c>
      <c r="F4" s="10" t="str">
        <f>RAW_IMPORT!F4</f>
        <v>Madonna</v>
      </c>
      <c r="G4" s="10" t="str">
        <f>IF(RAW_IMPORT!G4="","",TRIM(CLEAN(_xlfn.REGEXREPLACE(_xlfn.REGEXREPLACE(RAW_IMPORT!G4, "\[.*?\]", ""),"[^A-Za-z0-9 .,'’\-]", ""))))</f>
        <v>Sticky Sweet Tour</v>
      </c>
      <c r="H4" s="1">
        <f>IF(RAW_IMPORT!H4="","", VALUE(LEFT(RAW_IMPORT!H4,4)))</f>
        <v>2008</v>
      </c>
      <c r="I4" s="1">
        <f>IF(RAW_IMPORT!H4="","", VALUE(RIGHT(RAW_IMPORT!H4,4)))</f>
        <v>2009</v>
      </c>
      <c r="J4" s="1">
        <f>RAW_IMPORT!I4</f>
        <v>85</v>
      </c>
      <c r="K4" s="2">
        <f>VALUE(SUBSTITUTE(SUBSTITUTE(_xlfn.REGEXREPLACE(RAW_IMPORT!J4, "\[.*?\]", ""), "$", ""), ",", ""))</f>
        <v>4835294</v>
      </c>
      <c r="L4"/>
    </row>
    <row r="5" spans="1:12" x14ac:dyDescent="0.25">
      <c r="A5" s="1">
        <f>RAW_IMPORT!A5</f>
        <v>4</v>
      </c>
      <c r="B5" s="1">
        <f>IF(RAW_IMPORT!B5="","", VALUE(TRIM(CLEAN(_xlfn.REGEXREPLACE(RAW_IMPORT!B5, "\[.*?\]", "")))))</f>
        <v>2</v>
      </c>
      <c r="C5" s="1">
        <f>IF(RAW_IMPORT!C5="","", VALUE(TRIM(CLEAN(_xlfn.REGEXREPLACE(RAW_IMPORT!C5, "\[.*?\]", "")))))</f>
        <v>10</v>
      </c>
      <c r="D5" s="2">
        <f>VALUE(SUBSTITUTE(SUBSTITUTE(_xlfn.REGEXREPLACE(RAW_IMPORT!D5, "\[.*?\]", ""), "$", ""), ",", ""))</f>
        <v>397300000</v>
      </c>
      <c r="E5" s="2">
        <f>VALUE(SUBSTITUTE(SUBSTITUTE(_xlfn.REGEXREPLACE(RAW_IMPORT!E5, "\[.*?\]", ""), "$", ""), ",", ""))</f>
        <v>454751555</v>
      </c>
      <c r="F5" s="10" t="str">
        <f>RAW_IMPORT!F5</f>
        <v>Pink</v>
      </c>
      <c r="G5" s="10" t="str">
        <f>IF(RAW_IMPORT!G5="","",TRIM(CLEAN(_xlfn.REGEXREPLACE(_xlfn.REGEXREPLACE(RAW_IMPORT!G5, "\[.*?\]", ""),"[^A-Za-z0-9 .,'’\-]", ""))))</f>
        <v>Beautiful Trauma World Tour</v>
      </c>
      <c r="H5" s="1">
        <f>IF(RAW_IMPORT!H5="","", VALUE(LEFT(RAW_IMPORT!H5,4)))</f>
        <v>2018</v>
      </c>
      <c r="I5" s="1">
        <f>IF(RAW_IMPORT!H5="","", VALUE(RIGHT(RAW_IMPORT!H5,4)))</f>
        <v>2019</v>
      </c>
      <c r="J5" s="1">
        <f>RAW_IMPORT!I5</f>
        <v>156</v>
      </c>
      <c r="K5" s="2">
        <f>VALUE(SUBSTITUTE(SUBSTITUTE(_xlfn.REGEXREPLACE(RAW_IMPORT!J5, "\[.*?\]", ""), "$", ""), ",", ""))</f>
        <v>2546795</v>
      </c>
      <c r="L5"/>
    </row>
    <row r="6" spans="1:12" x14ac:dyDescent="0.25">
      <c r="A6" s="1">
        <f>RAW_IMPORT!A6</f>
        <v>5</v>
      </c>
      <c r="B6" s="1">
        <f>IF(RAW_IMPORT!B6="","", VALUE(TRIM(CLEAN(_xlfn.REGEXREPLACE(RAW_IMPORT!B6, "\[.*?\]", "")))))</f>
        <v>2</v>
      </c>
      <c r="C6" s="1" t="str">
        <f>IF(RAW_IMPORT!C6="","", VALUE(TRIM(CLEAN(_xlfn.REGEXREPLACE(RAW_IMPORT!C6, "\[.*?\]", "")))))</f>
        <v/>
      </c>
      <c r="D6" s="2">
        <f>VALUE(SUBSTITUTE(SUBSTITUTE(_xlfn.REGEXREPLACE(RAW_IMPORT!D6, "\[.*?\]", ""), "$", ""), ",", ""))</f>
        <v>345675146</v>
      </c>
      <c r="E6" s="2">
        <f>VALUE(SUBSTITUTE(SUBSTITUTE(_xlfn.REGEXREPLACE(RAW_IMPORT!E6, "\[.*?\]", ""), "$", ""), ",", ""))</f>
        <v>402844849</v>
      </c>
      <c r="F6" s="10" t="str">
        <f>RAW_IMPORT!F6</f>
        <v>Taylor Swift</v>
      </c>
      <c r="G6" s="10" t="str">
        <f>IF(RAW_IMPORT!G6="","",TRIM(CLEAN(_xlfn.REGEXREPLACE(_xlfn.REGEXREPLACE(RAW_IMPORT!G6, "\[.*?\]", ""),"[^A-Za-z0-9 .,'’\-]", ""))))</f>
        <v>Reputation Stadium Tour</v>
      </c>
      <c r="H6" s="1">
        <f>IF(RAW_IMPORT!H6="","", VALUE(LEFT(RAW_IMPORT!H6,4)))</f>
        <v>2018</v>
      </c>
      <c r="I6" s="1">
        <f>IF(RAW_IMPORT!H6="","", VALUE(RIGHT(RAW_IMPORT!H6,4)))</f>
        <v>2018</v>
      </c>
      <c r="J6" s="1">
        <f>RAW_IMPORT!I6</f>
        <v>53</v>
      </c>
      <c r="K6" s="2">
        <f>VALUE(SUBSTITUTE(SUBSTITUTE(_xlfn.REGEXREPLACE(RAW_IMPORT!J6, "\[.*?\]", ""), "$", ""), ",", ""))</f>
        <v>6522173</v>
      </c>
      <c r="L6"/>
    </row>
    <row r="7" spans="1:12" x14ac:dyDescent="0.25">
      <c r="A7" s="1">
        <f>RAW_IMPORT!A7</f>
        <v>6</v>
      </c>
      <c r="B7" s="1">
        <f>IF(RAW_IMPORT!B7="","", VALUE(TRIM(CLEAN(_xlfn.REGEXREPLACE(RAW_IMPORT!B7, "\[.*?\]", "")))))</f>
        <v>2</v>
      </c>
      <c r="C7" s="1">
        <f>IF(RAW_IMPORT!C7="","", VALUE(TRIM(CLEAN(_xlfn.REGEXREPLACE(RAW_IMPORT!C7, "\[.*?\]", "")))))</f>
        <v>10</v>
      </c>
      <c r="D7" s="2">
        <f>VALUE(SUBSTITUTE(SUBSTITUTE(_xlfn.REGEXREPLACE(RAW_IMPORT!D7, "\[.*?\]", ""), "$", ""), ",", ""))</f>
        <v>305158363</v>
      </c>
      <c r="E7" s="2">
        <f>VALUE(SUBSTITUTE(SUBSTITUTE(_xlfn.REGEXREPLACE(RAW_IMPORT!E7, "\[.*?\]", ""), "$", ""), ",", ""))</f>
        <v>388978496</v>
      </c>
      <c r="F7" s="10" t="str">
        <f>RAW_IMPORT!F7</f>
        <v>Madonna</v>
      </c>
      <c r="G7" s="10" t="str">
        <f>IF(RAW_IMPORT!G7="","",TRIM(CLEAN(_xlfn.REGEXREPLACE(_xlfn.REGEXREPLACE(RAW_IMPORT!G7, "\[.*?\]", ""),"[^A-Za-z0-9 .,'’\-]", ""))))</f>
        <v>The MDNA Tour</v>
      </c>
      <c r="H7" s="1">
        <f>IF(RAW_IMPORT!H7="","", VALUE(LEFT(RAW_IMPORT!H7,4)))</f>
        <v>2012</v>
      </c>
      <c r="I7" s="1">
        <f>IF(RAW_IMPORT!H7="","", VALUE(RIGHT(RAW_IMPORT!H7,4)))</f>
        <v>2012</v>
      </c>
      <c r="J7" s="1">
        <f>RAW_IMPORT!I7</f>
        <v>88</v>
      </c>
      <c r="K7" s="2">
        <f>VALUE(SUBSTITUTE(SUBSTITUTE(_xlfn.REGEXREPLACE(RAW_IMPORT!J7, "\[.*?\]", ""), "$", ""), ",", ""))</f>
        <v>3467709</v>
      </c>
      <c r="L7"/>
    </row>
    <row r="8" spans="1:12" x14ac:dyDescent="0.25">
      <c r="A8" s="1">
        <f>RAW_IMPORT!A8</f>
        <v>7</v>
      </c>
      <c r="B8" s="1">
        <f>IF(RAW_IMPORT!B8="","", VALUE(TRIM(CLEAN(_xlfn.REGEXREPLACE(RAW_IMPORT!B8, "\[.*?\]", "")))))</f>
        <v>2</v>
      </c>
      <c r="C8" s="1" t="str">
        <f>IF(RAW_IMPORT!C8="","", VALUE(TRIM(CLEAN(_xlfn.REGEXREPLACE(RAW_IMPORT!C8, "\[.*?\]", "")))))</f>
        <v/>
      </c>
      <c r="D8" s="2">
        <f>VALUE(SUBSTITUTE(SUBSTITUTE(_xlfn.REGEXREPLACE(RAW_IMPORT!D8, "\[.*?\]", ""), "$", ""), ",", ""))</f>
        <v>280000000</v>
      </c>
      <c r="E8" s="2">
        <f>VALUE(SUBSTITUTE(SUBSTITUTE(_xlfn.REGEXREPLACE(RAW_IMPORT!E8, "\[.*?\]", ""), "$", ""), ",", ""))</f>
        <v>381932682</v>
      </c>
      <c r="F8" s="10" t="str">
        <f>RAW_IMPORT!F8</f>
        <v>Celine Dion</v>
      </c>
      <c r="G8" s="10" t="str">
        <f>IF(RAW_IMPORT!G8="","",TRIM(CLEAN(_xlfn.REGEXREPLACE(_xlfn.REGEXREPLACE(RAW_IMPORT!G8, "\[.*?\]", ""),"[^A-Za-z0-9 .,'’\-]", ""))))</f>
        <v>Taking Chances World Tour</v>
      </c>
      <c r="H8" s="1">
        <f>IF(RAW_IMPORT!H8="","", VALUE(LEFT(RAW_IMPORT!H8,4)))</f>
        <v>2008</v>
      </c>
      <c r="I8" s="1">
        <f>IF(RAW_IMPORT!H8="","", VALUE(RIGHT(RAW_IMPORT!H8,4)))</f>
        <v>2009</v>
      </c>
      <c r="J8" s="1">
        <f>RAW_IMPORT!I8</f>
        <v>131</v>
      </c>
      <c r="K8" s="2">
        <f>VALUE(SUBSTITUTE(SUBSTITUTE(_xlfn.REGEXREPLACE(RAW_IMPORT!J8, "\[.*?\]", ""), "$", ""), ",", ""))</f>
        <v>2137405</v>
      </c>
      <c r="L8"/>
    </row>
    <row r="9" spans="1:12" x14ac:dyDescent="0.25">
      <c r="A9" s="1">
        <f>RAW_IMPORT!A9</f>
        <v>7</v>
      </c>
      <c r="B9" s="1" t="str">
        <f>IF(RAW_IMPORT!B9="","", VALUE(TRIM(CLEAN(_xlfn.REGEXREPLACE(RAW_IMPORT!B9, "\[.*?\]", "")))))</f>
        <v/>
      </c>
      <c r="C9" s="1" t="str">
        <f>IF(RAW_IMPORT!C9="","", VALUE(TRIM(CLEAN(_xlfn.REGEXREPLACE(RAW_IMPORT!C9, "\[.*?\]", "")))))</f>
        <v/>
      </c>
      <c r="D9" s="2">
        <f>VALUE(SUBSTITUTE(SUBSTITUTE(_xlfn.REGEXREPLACE(RAW_IMPORT!D9, "\[.*?\]", ""), "$", ""), ",", ""))</f>
        <v>257600000</v>
      </c>
      <c r="E9" s="2">
        <f>VALUE(SUBSTITUTE(SUBSTITUTE(_xlfn.REGEXREPLACE(RAW_IMPORT!E9, "\[.*?\]", ""), "$", ""), ",", ""))</f>
        <v>257600000</v>
      </c>
      <c r="F9" s="10" t="str">
        <f>RAW_IMPORT!F9</f>
        <v>Pink</v>
      </c>
      <c r="G9" s="10" t="str">
        <f>IF(RAW_IMPORT!G9="","",TRIM(CLEAN(_xlfn.REGEXREPLACE(_xlfn.REGEXREPLACE(RAW_IMPORT!G9, "\[.*?\]", ""),"[^A-Za-z0-9 .,'’\-]", ""))))</f>
        <v>Summer Carnival</v>
      </c>
      <c r="H9" s="1">
        <f>IF(RAW_IMPORT!H9="","", VALUE(LEFT(RAW_IMPORT!H9,4)))</f>
        <v>2023</v>
      </c>
      <c r="I9" s="1">
        <f>IF(RAW_IMPORT!H9="","", VALUE(RIGHT(RAW_IMPORT!H9,4)))</f>
        <v>2024</v>
      </c>
      <c r="J9" s="1">
        <f>RAW_IMPORT!I9</f>
        <v>41</v>
      </c>
      <c r="K9" s="2">
        <f>VALUE(SUBSTITUTE(SUBSTITUTE(_xlfn.REGEXREPLACE(RAW_IMPORT!J9, "\[.*?\]", ""), "$", ""), ",", ""))</f>
        <v>6282927</v>
      </c>
      <c r="L9"/>
    </row>
    <row r="10" spans="1:12" x14ac:dyDescent="0.25">
      <c r="A10" s="1">
        <f>RAW_IMPORT!A10</f>
        <v>9</v>
      </c>
      <c r="B10" s="1" t="str">
        <f>IF(RAW_IMPORT!B10="","", VALUE(TRIM(CLEAN(_xlfn.REGEXREPLACE(RAW_IMPORT!B10, "\[.*?\]", "")))))</f>
        <v/>
      </c>
      <c r="C10" s="1" t="str">
        <f>IF(RAW_IMPORT!C10="","", VALUE(TRIM(CLEAN(_xlfn.REGEXREPLACE(RAW_IMPORT!C10, "\[.*?\]", "")))))</f>
        <v/>
      </c>
      <c r="D10" s="2">
        <f>VALUE(SUBSTITUTE(SUBSTITUTE(_xlfn.REGEXREPLACE(RAW_IMPORT!D10, "\[.*?\]", ""), "$", ""), ",", ""))</f>
        <v>256084556</v>
      </c>
      <c r="E10" s="2">
        <f>VALUE(SUBSTITUTE(SUBSTITUTE(_xlfn.REGEXREPLACE(RAW_IMPORT!E10, "\[.*?\]", ""), "$", ""), ",", ""))</f>
        <v>312258401</v>
      </c>
      <c r="F10" s="10" t="str">
        <f>RAW_IMPORT!F10</f>
        <v>Beyoncé</v>
      </c>
      <c r="G10" s="10" t="str">
        <f>IF(RAW_IMPORT!G10="","",TRIM(CLEAN(_xlfn.REGEXREPLACE(_xlfn.REGEXREPLACE(RAW_IMPORT!G10, "\[.*?\]", ""),"[^A-Za-z0-9 .,'’\-]", ""))))</f>
        <v>The Formation World Tour</v>
      </c>
      <c r="H10" s="1">
        <f>IF(RAW_IMPORT!H10="","", VALUE(LEFT(RAW_IMPORT!H10,4)))</f>
        <v>2016</v>
      </c>
      <c r="I10" s="1">
        <f>IF(RAW_IMPORT!H10="","", VALUE(RIGHT(RAW_IMPORT!H10,4)))</f>
        <v>2016</v>
      </c>
      <c r="J10" s="1">
        <f>RAW_IMPORT!I10</f>
        <v>49</v>
      </c>
      <c r="K10" s="2">
        <f>VALUE(SUBSTITUTE(SUBSTITUTE(_xlfn.REGEXREPLACE(RAW_IMPORT!J10, "\[.*?\]", ""), "$", ""), ",", ""))</f>
        <v>5226215</v>
      </c>
      <c r="L10"/>
    </row>
    <row r="11" spans="1:12" x14ac:dyDescent="0.25">
      <c r="A11" s="1">
        <f>RAW_IMPORT!A11</f>
        <v>10</v>
      </c>
      <c r="B11" s="1" t="str">
        <f>IF(RAW_IMPORT!B11="","", VALUE(TRIM(CLEAN(_xlfn.REGEXREPLACE(RAW_IMPORT!B11, "\[.*?\]", "")))))</f>
        <v/>
      </c>
      <c r="C11" s="1" t="str">
        <f>IF(RAW_IMPORT!C11="","", VALUE(TRIM(CLEAN(_xlfn.REGEXREPLACE(RAW_IMPORT!C11, "\[.*?\]", "")))))</f>
        <v/>
      </c>
      <c r="D11" s="2">
        <f>VALUE(SUBSTITUTE(SUBSTITUTE(_xlfn.REGEXREPLACE(RAW_IMPORT!D11, "\[.*?\]", ""), "$", ""), ",", ""))</f>
        <v>250400000</v>
      </c>
      <c r="E11" s="2">
        <f>VALUE(SUBSTITUTE(SUBSTITUTE(_xlfn.REGEXREPLACE(RAW_IMPORT!E11, "\[.*?\]", ""), "$", ""), ",", ""))</f>
        <v>309141878</v>
      </c>
      <c r="F11" s="10" t="str">
        <f>RAW_IMPORT!F11</f>
        <v>Taylor Swift</v>
      </c>
      <c r="G11" s="10" t="str">
        <f>IF(RAW_IMPORT!G11="","",TRIM(CLEAN(_xlfn.REGEXREPLACE(_xlfn.REGEXREPLACE(RAW_IMPORT!G11, "\[.*?\]", ""),"[^A-Za-z0-9 .,'’\-]", ""))))</f>
        <v>The 1989 World Tour</v>
      </c>
      <c r="H11" s="1">
        <f>IF(RAW_IMPORT!H11="","", VALUE(LEFT(RAW_IMPORT!H11,4)))</f>
        <v>2015</v>
      </c>
      <c r="I11" s="1">
        <f>IF(RAW_IMPORT!H11="","", VALUE(RIGHT(RAW_IMPORT!H11,4)))</f>
        <v>2015</v>
      </c>
      <c r="J11" s="1">
        <f>RAW_IMPORT!I11</f>
        <v>85</v>
      </c>
      <c r="K11" s="2">
        <f>VALUE(SUBSTITUTE(SUBSTITUTE(_xlfn.REGEXREPLACE(RAW_IMPORT!J11, "\[.*?\]", ""), "$", ""), ",", ""))</f>
        <v>2945882</v>
      </c>
      <c r="L11"/>
    </row>
    <row r="12" spans="1:12" x14ac:dyDescent="0.25">
      <c r="A12" s="1">
        <f>RAW_IMPORT!A12</f>
        <v>11</v>
      </c>
      <c r="B12" s="1" t="str">
        <f>IF(RAW_IMPORT!B12="","", VALUE(TRIM(CLEAN(_xlfn.REGEXREPLACE(RAW_IMPORT!B12, "\[.*?\]", "")))))</f>
        <v/>
      </c>
      <c r="C12" s="1" t="str">
        <f>IF(RAW_IMPORT!C12="","", VALUE(TRIM(CLEAN(_xlfn.REGEXREPLACE(RAW_IMPORT!C12, "\[.*?\]", "")))))</f>
        <v/>
      </c>
      <c r="D12" s="2">
        <f>VALUE(SUBSTITUTE(SUBSTITUTE(_xlfn.REGEXREPLACE(RAW_IMPORT!D12, "\[.*?\]", ""), "$", ""), ",", ""))</f>
        <v>229100000</v>
      </c>
      <c r="E12" s="2">
        <f>VALUE(SUBSTITUTE(SUBSTITUTE(_xlfn.REGEXREPLACE(RAW_IMPORT!E12, "\[.*?\]", ""), "$", ""), ",", ""))</f>
        <v>283202896</v>
      </c>
      <c r="F12" s="10" t="str">
        <f>RAW_IMPORT!F12</f>
        <v>Beyoncé</v>
      </c>
      <c r="G12" s="10" t="str">
        <f>IF(RAW_IMPORT!G12="","",TRIM(CLEAN(_xlfn.REGEXREPLACE(_xlfn.REGEXREPLACE(RAW_IMPORT!G12, "\[.*?\]", ""),"[^A-Za-z0-9 .,'’\-]", ""))))</f>
        <v>The Mrs. Carter Show World Tour</v>
      </c>
      <c r="H12" s="1">
        <f>IF(RAW_IMPORT!H12="","", VALUE(LEFT(RAW_IMPORT!H12,4)))</f>
        <v>2013</v>
      </c>
      <c r="I12" s="1">
        <f>IF(RAW_IMPORT!H12="","", VALUE(RIGHT(RAW_IMPORT!H12,4)))</f>
        <v>2014</v>
      </c>
      <c r="J12" s="1">
        <f>RAW_IMPORT!I12</f>
        <v>132</v>
      </c>
      <c r="K12" s="2">
        <f>VALUE(SUBSTITUTE(SUBSTITUTE(_xlfn.REGEXREPLACE(RAW_IMPORT!J12, "\[.*?\]", ""), "$", ""), ",", ""))</f>
        <v>1735606</v>
      </c>
      <c r="L12"/>
    </row>
    <row r="13" spans="1:12" x14ac:dyDescent="0.25">
      <c r="A13" s="1">
        <f>RAW_IMPORT!A13</f>
        <v>12</v>
      </c>
      <c r="B13" s="1" t="str">
        <f>IF(RAW_IMPORT!B13="","", VALUE(TRIM(CLEAN(_xlfn.REGEXREPLACE(RAW_IMPORT!B13, "\[.*?\]", "")))))</f>
        <v/>
      </c>
      <c r="C13" s="1">
        <f>IF(RAW_IMPORT!C13="","", VALUE(TRIM(CLEAN(_xlfn.REGEXREPLACE(RAW_IMPORT!C13, "\[.*?\]", "")))))</f>
        <v>14</v>
      </c>
      <c r="D13" s="2">
        <f>VALUE(SUBSTITUTE(SUBSTITUTE(_xlfn.REGEXREPLACE(RAW_IMPORT!D13, "\[.*?\]", ""), "$", ""), ",", ""))</f>
        <v>227400000</v>
      </c>
      <c r="E13" s="2">
        <f>VALUE(SUBSTITUTE(SUBSTITUTE(_xlfn.REGEXREPLACE(RAW_IMPORT!E13, "\[.*?\]", ""), "$", ""), ",", ""))</f>
        <v>295301479</v>
      </c>
      <c r="F13" s="10" t="str">
        <f>RAW_IMPORT!F13</f>
        <v>Lady Gaga</v>
      </c>
      <c r="G13" s="10" t="str">
        <f>IF(RAW_IMPORT!G13="","",TRIM(CLEAN(_xlfn.REGEXREPLACE(_xlfn.REGEXREPLACE(RAW_IMPORT!G13, "\[.*?\]", ""),"[^A-Za-z0-9 .,'’\-]", ""))))</f>
        <v>The Monster Ball Tour</v>
      </c>
      <c r="H13" s="1">
        <f>IF(RAW_IMPORT!H13="","", VALUE(LEFT(RAW_IMPORT!H13,4)))</f>
        <v>2009</v>
      </c>
      <c r="I13" s="1">
        <f>IF(RAW_IMPORT!H13="","", VALUE(RIGHT(RAW_IMPORT!H13,4)))</f>
        <v>2011</v>
      </c>
      <c r="J13" s="1">
        <f>RAW_IMPORT!I13</f>
        <v>203</v>
      </c>
      <c r="K13" s="2">
        <f>VALUE(SUBSTITUTE(SUBSTITUTE(_xlfn.REGEXREPLACE(RAW_IMPORT!J13, "\[.*?\]", ""), "$", ""), ",", ""))</f>
        <v>1118227</v>
      </c>
      <c r="L13"/>
    </row>
    <row r="14" spans="1:12" x14ac:dyDescent="0.25">
      <c r="A14" s="1">
        <f>RAW_IMPORT!A14</f>
        <v>13</v>
      </c>
      <c r="B14" s="1" t="str">
        <f>IF(RAW_IMPORT!B14="","", VALUE(TRIM(CLEAN(_xlfn.REGEXREPLACE(RAW_IMPORT!B14, "\[.*?\]", "")))))</f>
        <v/>
      </c>
      <c r="C14" s="1" t="str">
        <f>IF(RAW_IMPORT!C14="","", VALUE(TRIM(CLEAN(_xlfn.REGEXREPLACE(RAW_IMPORT!C14, "\[.*?\]", "")))))</f>
        <v/>
      </c>
      <c r="D14" s="2">
        <f>VALUE(SUBSTITUTE(SUBSTITUTE(_xlfn.REGEXREPLACE(RAW_IMPORT!D14, "\[.*?\]", ""), "$", ""), ",", ""))</f>
        <v>204000000</v>
      </c>
      <c r="E14" s="2">
        <f>VALUE(SUBSTITUTE(SUBSTITUTE(_xlfn.REGEXREPLACE(RAW_IMPORT!E14, "\[.*?\]", ""), "$", ""), ",", ""))</f>
        <v>251856802</v>
      </c>
      <c r="F14" s="10" t="str">
        <f>RAW_IMPORT!F14</f>
        <v>Katy Perry</v>
      </c>
      <c r="G14" s="10" t="str">
        <f>IF(RAW_IMPORT!G14="","",TRIM(CLEAN(_xlfn.REGEXREPLACE(_xlfn.REGEXREPLACE(RAW_IMPORT!G14, "\[.*?\]", ""),"[^A-Za-z0-9 .,'’\-]", ""))))</f>
        <v>Prismatic World Tour</v>
      </c>
      <c r="H14" s="1">
        <f>IF(RAW_IMPORT!H14="","", VALUE(LEFT(RAW_IMPORT!H14,4)))</f>
        <v>2014</v>
      </c>
      <c r="I14" s="1">
        <f>IF(RAW_IMPORT!H14="","", VALUE(RIGHT(RAW_IMPORT!H14,4)))</f>
        <v>2015</v>
      </c>
      <c r="J14" s="1">
        <f>RAW_IMPORT!I14</f>
        <v>151</v>
      </c>
      <c r="K14" s="2">
        <f>VALUE(SUBSTITUTE(SUBSTITUTE(_xlfn.REGEXREPLACE(RAW_IMPORT!J14, "\[.*?\]", ""), "$", ""), ",", ""))</f>
        <v>1350993</v>
      </c>
      <c r="L14"/>
    </row>
    <row r="15" spans="1:12" x14ac:dyDescent="0.25">
      <c r="A15" s="1">
        <f>RAW_IMPORT!A15</f>
        <v>14</v>
      </c>
      <c r="B15" s="1">
        <f>IF(RAW_IMPORT!B15="","", VALUE(TRIM(CLEAN(_xlfn.REGEXREPLACE(RAW_IMPORT!B15, "\[.*?\]", "")))))</f>
        <v>1</v>
      </c>
      <c r="C15" s="1" t="str">
        <f>IF(RAW_IMPORT!C15="","", VALUE(TRIM(CLEAN(_xlfn.REGEXREPLACE(RAW_IMPORT!C15, "\[.*?\]", "")))))</f>
        <v/>
      </c>
      <c r="D15" s="2">
        <f>VALUE(SUBSTITUTE(SUBSTITUTE(_xlfn.REGEXREPLACE(RAW_IMPORT!D15, "\[.*?\]", ""), "$", ""), ",", ""))</f>
        <v>200000000</v>
      </c>
      <c r="E15" s="2">
        <f>VALUE(SUBSTITUTE(SUBSTITUTE(_xlfn.REGEXREPLACE(RAW_IMPORT!E15, "\[.*?\]", ""), "$", ""), ",", ""))</f>
        <v>299676265</v>
      </c>
      <c r="F15" s="10" t="str">
        <f>RAW_IMPORT!F15</f>
        <v>Cher</v>
      </c>
      <c r="G15" s="10" t="str">
        <f>IF(RAW_IMPORT!G15="","",TRIM(CLEAN(_xlfn.REGEXREPLACE(_xlfn.REGEXREPLACE(RAW_IMPORT!G15, "\[.*?\]", ""),"[^A-Za-z0-9 .,'’\-]", ""))))</f>
        <v>Living Proof The Farewell Tour</v>
      </c>
      <c r="H15" s="1">
        <f>IF(RAW_IMPORT!H15="","", VALUE(LEFT(RAW_IMPORT!H15,4)))</f>
        <v>2002</v>
      </c>
      <c r="I15" s="1">
        <f>IF(RAW_IMPORT!H15="","", VALUE(RIGHT(RAW_IMPORT!H15,4)))</f>
        <v>2005</v>
      </c>
      <c r="J15" s="1">
        <f>RAW_IMPORT!I15</f>
        <v>325</v>
      </c>
      <c r="K15" s="2">
        <f>VALUE(SUBSTITUTE(SUBSTITUTE(_xlfn.REGEXREPLACE(RAW_IMPORT!J15, "\[.*?\]", ""), "$", ""), ",", ""))</f>
        <v>615385</v>
      </c>
      <c r="L15"/>
    </row>
    <row r="16" spans="1:12" x14ac:dyDescent="0.25">
      <c r="A16" s="1">
        <f>RAW_IMPORT!A16</f>
        <v>15</v>
      </c>
      <c r="B16" s="1">
        <f>IF(RAW_IMPORT!B16="","", VALUE(TRIM(CLEAN(_xlfn.REGEXREPLACE(RAW_IMPORT!B16, "\[.*?\]", "")))))</f>
        <v>2</v>
      </c>
      <c r="C16" s="1" t="str">
        <f>IF(RAW_IMPORT!C16="","", VALUE(TRIM(CLEAN(_xlfn.REGEXREPLACE(RAW_IMPORT!C16, "\[.*?\]", "")))))</f>
        <v/>
      </c>
      <c r="D16" s="2">
        <f>VALUE(SUBSTITUTE(SUBSTITUTE(_xlfn.REGEXREPLACE(RAW_IMPORT!D16, "\[.*?\]", ""), "$", ""), ",", ""))</f>
        <v>194000000</v>
      </c>
      <c r="E16" s="2">
        <f>VALUE(SUBSTITUTE(SUBSTITUTE(_xlfn.REGEXREPLACE(RAW_IMPORT!E16, "\[.*?\]", ""), "$", ""), ",", ""))</f>
        <v>281617035</v>
      </c>
      <c r="F16" s="10" t="str">
        <f>RAW_IMPORT!F16</f>
        <v>Madonna</v>
      </c>
      <c r="G16" s="10" t="str">
        <f>IF(RAW_IMPORT!G16="","",TRIM(CLEAN(_xlfn.REGEXREPLACE(_xlfn.REGEXREPLACE(RAW_IMPORT!G16, "\[.*?\]", ""),"[^A-Za-z0-9 .,'’\-]", ""))))</f>
        <v>Confessions Tour</v>
      </c>
      <c r="H16" s="1">
        <f>IF(RAW_IMPORT!H16="","", VALUE(LEFT(RAW_IMPORT!H16,4)))</f>
        <v>2006</v>
      </c>
      <c r="I16" s="1">
        <f>IF(RAW_IMPORT!H16="","", VALUE(RIGHT(RAW_IMPORT!H16,4)))</f>
        <v>2006</v>
      </c>
      <c r="J16" s="1">
        <f>RAW_IMPORT!I16</f>
        <v>60</v>
      </c>
      <c r="K16" s="2">
        <f>VALUE(SUBSTITUTE(SUBSTITUTE(_xlfn.REGEXREPLACE(RAW_IMPORT!J16, "\[.*?\]", ""), "$", ""), ",", ""))</f>
        <v>3233333</v>
      </c>
      <c r="L16"/>
    </row>
    <row r="17" spans="1:12" x14ac:dyDescent="0.25">
      <c r="A17" s="1">
        <f>RAW_IMPORT!A17</f>
        <v>16</v>
      </c>
      <c r="B17" s="1" t="str">
        <f>IF(RAW_IMPORT!B17="","", VALUE(TRIM(CLEAN(_xlfn.REGEXREPLACE(RAW_IMPORT!B17, "\[.*?\]", "")))))</f>
        <v/>
      </c>
      <c r="C17" s="1" t="str">
        <f>IF(RAW_IMPORT!C17="","", VALUE(TRIM(CLEAN(_xlfn.REGEXREPLACE(RAW_IMPORT!C17, "\[.*?\]", "")))))</f>
        <v/>
      </c>
      <c r="D17" s="2">
        <f>VALUE(SUBSTITUTE(SUBSTITUTE(_xlfn.REGEXREPLACE(RAW_IMPORT!D17, "\[.*?\]", ""), "$", ""), ",", ""))</f>
        <v>184000000</v>
      </c>
      <c r="E17" s="2">
        <f>VALUE(SUBSTITUTE(SUBSTITUTE(_xlfn.REGEXREPLACE(RAW_IMPORT!E17, "\[.*?\]", ""), "$", ""), ",", ""))</f>
        <v>227452347</v>
      </c>
      <c r="F17" s="10" t="str">
        <f>RAW_IMPORT!F17</f>
        <v>Pink</v>
      </c>
      <c r="G17" s="10" t="str">
        <f>IF(RAW_IMPORT!G17="","",TRIM(CLEAN(_xlfn.REGEXREPLACE(_xlfn.REGEXREPLACE(RAW_IMPORT!G17, "\[.*?\]", ""),"[^A-Za-z0-9 .,'’\-]", ""))))</f>
        <v>The Truth About Love Tour</v>
      </c>
      <c r="H17" s="1">
        <f>IF(RAW_IMPORT!H17="","", VALUE(LEFT(RAW_IMPORT!H17,4)))</f>
        <v>2013</v>
      </c>
      <c r="I17" s="1">
        <f>IF(RAW_IMPORT!H17="","", VALUE(RIGHT(RAW_IMPORT!H17,4)))</f>
        <v>2014</v>
      </c>
      <c r="J17" s="1">
        <f>RAW_IMPORT!I17</f>
        <v>142</v>
      </c>
      <c r="K17" s="2">
        <f>VALUE(SUBSTITUTE(SUBSTITUTE(_xlfn.REGEXREPLACE(RAW_IMPORT!J17, "\[.*?\]", ""), "$", ""), ",", ""))</f>
        <v>1295775</v>
      </c>
      <c r="L17"/>
    </row>
    <row r="18" spans="1:12" x14ac:dyDescent="0.25">
      <c r="A18" s="1">
        <f>RAW_IMPORT!A18</f>
        <v>17</v>
      </c>
      <c r="B18" s="1" t="str">
        <f>IF(RAW_IMPORT!B18="","", VALUE(TRIM(CLEAN(_xlfn.REGEXREPLACE(RAW_IMPORT!B18, "\[.*?\]", "")))))</f>
        <v/>
      </c>
      <c r="C18" s="1" t="str">
        <f>IF(RAW_IMPORT!C18="","", VALUE(TRIM(CLEAN(_xlfn.REGEXREPLACE(RAW_IMPORT!C18, "\[.*?\]", "")))))</f>
        <v/>
      </c>
      <c r="D18" s="2">
        <f>VALUE(SUBSTITUTE(SUBSTITUTE(_xlfn.REGEXREPLACE(RAW_IMPORT!D18, "\[.*?\]", ""), "$", ""), ",", ""))</f>
        <v>170000000</v>
      </c>
      <c r="E18" s="2">
        <f>VALUE(SUBSTITUTE(SUBSTITUTE(_xlfn.REGEXREPLACE(RAW_IMPORT!E18, "\[.*?\]", ""), "$", ""), ",", ""))</f>
        <v>213568571</v>
      </c>
      <c r="F18" s="10" t="str">
        <f>RAW_IMPORT!F18</f>
        <v>Lady Gaga</v>
      </c>
      <c r="G18" s="10" t="str">
        <f>IF(RAW_IMPORT!G18="","",TRIM(CLEAN(_xlfn.REGEXREPLACE(_xlfn.REGEXREPLACE(RAW_IMPORT!G18, "\[.*?\]", ""),"[^A-Za-z0-9 .,'’\-]", ""))))</f>
        <v>Born This Way Ball</v>
      </c>
      <c r="H18" s="1">
        <f>IF(RAW_IMPORT!H18="","", VALUE(LEFT(RAW_IMPORT!H18,4)))</f>
        <v>2012</v>
      </c>
      <c r="I18" s="1">
        <f>IF(RAW_IMPORT!H18="","", VALUE(RIGHT(RAW_IMPORT!H18,4)))</f>
        <v>2013</v>
      </c>
      <c r="J18" s="1">
        <f>RAW_IMPORT!I18</f>
        <v>98</v>
      </c>
      <c r="K18" s="2">
        <f>VALUE(SUBSTITUTE(SUBSTITUTE(_xlfn.REGEXREPLACE(RAW_IMPORT!J18, "\[.*?\]", ""), "$", ""), ",", ""))</f>
        <v>1734694</v>
      </c>
      <c r="L18"/>
    </row>
    <row r="19" spans="1:12" x14ac:dyDescent="0.25">
      <c r="A19" s="1">
        <f>RAW_IMPORT!A19</f>
        <v>18</v>
      </c>
      <c r="B19" s="1" t="str">
        <f>IF(RAW_IMPORT!B19="","", VALUE(TRIM(CLEAN(_xlfn.REGEXREPLACE(RAW_IMPORT!B19, "\[.*?\]", "")))))</f>
        <v/>
      </c>
      <c r="C19" s="1" t="str">
        <f>IF(RAW_IMPORT!C19="","", VALUE(TRIM(CLEAN(_xlfn.REGEXREPLACE(RAW_IMPORT!C19, "\[.*?\]", "")))))</f>
        <v/>
      </c>
      <c r="D19" s="2">
        <f>VALUE(SUBSTITUTE(SUBSTITUTE(_xlfn.REGEXREPLACE(RAW_IMPORT!D19, "\[.*?\]", ""), "$", ""), ",", ""))</f>
        <v>169800000</v>
      </c>
      <c r="E19" s="2">
        <f>VALUE(SUBSTITUTE(SUBSTITUTE(_xlfn.REGEXREPLACE(RAW_IMPORT!E19, "\[.*?\]", ""), "$", ""), ",", ""))</f>
        <v>207046755</v>
      </c>
      <c r="F19" s="10" t="str">
        <f>RAW_IMPORT!F19</f>
        <v>Madonna</v>
      </c>
      <c r="G19" s="10" t="str">
        <f>IF(RAW_IMPORT!G19="","",TRIM(CLEAN(_xlfn.REGEXREPLACE(_xlfn.REGEXREPLACE(RAW_IMPORT!G19, "\[.*?\]", ""),"[^A-Za-z0-9 .,'’\-]", ""))))</f>
        <v>Rebel Heart Tour</v>
      </c>
      <c r="H19" s="1">
        <f>IF(RAW_IMPORT!H19="","", VALUE(LEFT(RAW_IMPORT!H19,4)))</f>
        <v>2015</v>
      </c>
      <c r="I19" s="1">
        <f>IF(RAW_IMPORT!H19="","", VALUE(RIGHT(RAW_IMPORT!H19,4)))</f>
        <v>2016</v>
      </c>
      <c r="J19" s="1">
        <f>RAW_IMPORT!I19</f>
        <v>82</v>
      </c>
      <c r="K19" s="2">
        <f>VALUE(SUBSTITUTE(SUBSTITUTE(_xlfn.REGEXREPLACE(RAW_IMPORT!J19, "\[.*?\]", ""), "$", ""), ",", ""))</f>
        <v>2070732</v>
      </c>
      <c r="L19"/>
    </row>
    <row r="20" spans="1:12" x14ac:dyDescent="0.25">
      <c r="A20" s="1">
        <f>RAW_IMPORT!A20</f>
        <v>19</v>
      </c>
      <c r="B20" s="1" t="str">
        <f>IF(RAW_IMPORT!B20="","", VALUE(TRIM(CLEAN(_xlfn.REGEXREPLACE(RAW_IMPORT!B20, "\[.*?\]", "")))))</f>
        <v/>
      </c>
      <c r="C20" s="1" t="str">
        <f>IF(RAW_IMPORT!C20="","", VALUE(TRIM(CLEAN(_xlfn.REGEXREPLACE(RAW_IMPORT!C20, "\[.*?\]", "")))))</f>
        <v/>
      </c>
      <c r="D20" s="2">
        <f>VALUE(SUBSTITUTE(SUBSTITUTE(_xlfn.REGEXREPLACE(RAW_IMPORT!D20, "\[.*?\]", ""), "$", ""), ",", ""))</f>
        <v>167700000</v>
      </c>
      <c r="E20" s="2">
        <f>VALUE(SUBSTITUTE(SUBSTITUTE(_xlfn.REGEXREPLACE(RAW_IMPORT!E20, "\[.*?\]", ""), "$", ""), ",", ""))</f>
        <v>204486106</v>
      </c>
      <c r="F20" s="10" t="str">
        <f>RAW_IMPORT!F20</f>
        <v>Adele</v>
      </c>
      <c r="G20" s="10" t="str">
        <f>IF(RAW_IMPORT!G20="","",TRIM(CLEAN(_xlfn.REGEXREPLACE(_xlfn.REGEXREPLACE(RAW_IMPORT!G20, "\[.*?\]", ""),"[^A-Za-z0-9 .,'’\-]", ""))))</f>
        <v>Adele Live 2016</v>
      </c>
      <c r="H20" s="1">
        <f>IF(RAW_IMPORT!H20="","", VALUE(LEFT(RAW_IMPORT!H20,4)))</f>
        <v>2016</v>
      </c>
      <c r="I20" s="1">
        <f>IF(RAW_IMPORT!H20="","", VALUE(RIGHT(RAW_IMPORT!H20,4)))</f>
        <v>2017</v>
      </c>
      <c r="J20" s="1">
        <f>RAW_IMPORT!I20</f>
        <v>121</v>
      </c>
      <c r="K20" s="2">
        <f>VALUE(SUBSTITUTE(SUBSTITUTE(_xlfn.REGEXREPLACE(RAW_IMPORT!J20, "\[.*?\]", ""), "$", ""), ",", ""))</f>
        <v>1385950</v>
      </c>
      <c r="L20"/>
    </row>
    <row r="21" spans="1:12" x14ac:dyDescent="0.25">
      <c r="A21" s="1">
        <f>RAW_IMPORT!A21</f>
        <v>20</v>
      </c>
      <c r="B21" s="1" t="str">
        <f>IF(RAW_IMPORT!B21="","", VALUE(TRIM(CLEAN(_xlfn.REGEXREPLACE(RAW_IMPORT!B21, "\[.*?\]", "")))))</f>
        <v/>
      </c>
      <c r="C21" s="1" t="str">
        <f>IF(RAW_IMPORT!C21="","", VALUE(TRIM(CLEAN(_xlfn.REGEXREPLACE(RAW_IMPORT!C21, "\[.*?\]", "")))))</f>
        <v/>
      </c>
      <c r="D21" s="2">
        <f>VALUE(SUBSTITUTE(SUBSTITUTE(_xlfn.REGEXREPLACE(RAW_IMPORT!D21, "\[.*?\]", ""), "$", ""), ",", ""))</f>
        <v>150000000</v>
      </c>
      <c r="E21" s="2">
        <f>VALUE(SUBSTITUTE(SUBSTITUTE(_xlfn.REGEXREPLACE(RAW_IMPORT!E21, "\[.*?\]", ""), "$", ""), ",", ""))</f>
        <v>185423109</v>
      </c>
      <c r="F21" s="10" t="str">
        <f>RAW_IMPORT!F21</f>
        <v>Taylor Swift</v>
      </c>
      <c r="G21" s="10" t="str">
        <f>IF(RAW_IMPORT!G21="","",TRIM(CLEAN(_xlfn.REGEXREPLACE(_xlfn.REGEXREPLACE(RAW_IMPORT!G21, "\[.*?\]", ""),"[^A-Za-z0-9 .,'’\-]", ""))))</f>
        <v>The Red Tour</v>
      </c>
      <c r="H21" s="1">
        <f>IF(RAW_IMPORT!H21="","", VALUE(LEFT(RAW_IMPORT!H21,4)))</f>
        <v>2013</v>
      </c>
      <c r="I21" s="1">
        <f>IF(RAW_IMPORT!H21="","", VALUE(RIGHT(RAW_IMPORT!H21,4)))</f>
        <v>2014</v>
      </c>
      <c r="J21" s="1">
        <f>RAW_IMPORT!I21</f>
        <v>86</v>
      </c>
      <c r="K21" s="2">
        <f>VALUE(SUBSTITUTE(SUBSTITUTE(_xlfn.REGEXREPLACE(RAW_IMPORT!J21, "\[.*?\]", ""), "$", ""), ",", ""))</f>
        <v>1744186</v>
      </c>
      <c r="L2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BAACB-4252-468B-802A-FD83AC3A33BF}">
  <dimension ref="A1:C12"/>
  <sheetViews>
    <sheetView topLeftCell="A5" workbookViewId="0">
      <selection activeCell="F6" sqref="F6"/>
    </sheetView>
  </sheetViews>
  <sheetFormatPr defaultRowHeight="15" x14ac:dyDescent="0.25"/>
  <cols>
    <col min="1" max="1" width="29.28515625" bestFit="1" customWidth="1"/>
    <col min="2" max="2" width="72.28515625" customWidth="1"/>
    <col min="3" max="3" width="74.42578125" customWidth="1"/>
  </cols>
  <sheetData>
    <row r="1" spans="1:3" ht="18.75" x14ac:dyDescent="0.3">
      <c r="A1" s="4" t="s">
        <v>147</v>
      </c>
      <c r="B1" s="5" t="s">
        <v>149</v>
      </c>
      <c r="C1" s="5" t="s">
        <v>148</v>
      </c>
    </row>
    <row r="2" spans="1:3" ht="30" x14ac:dyDescent="0.25">
      <c r="A2" s="6" t="str" cm="1">
        <f t="array" ref="A2:A12">TRANSPOSE(Table1[#Headers])</f>
        <v>Rank</v>
      </c>
      <c r="B2" s="7" t="s">
        <v>155</v>
      </c>
      <c r="C2" s="8" t="s">
        <v>150</v>
      </c>
    </row>
    <row r="3" spans="1:3" ht="45" x14ac:dyDescent="0.25">
      <c r="A3" s="6" t="str">
        <v>Peak</v>
      </c>
      <c r="B3" s="9" t="s">
        <v>151</v>
      </c>
      <c r="C3" s="9" t="s">
        <v>152</v>
      </c>
    </row>
    <row r="4" spans="1:3" ht="45" x14ac:dyDescent="0.25">
      <c r="A4" s="6" t="str">
        <v>All Time Peak</v>
      </c>
      <c r="B4" s="9" t="s">
        <v>153</v>
      </c>
      <c r="C4" s="9" t="s">
        <v>154</v>
      </c>
    </row>
    <row r="5" spans="1:3" ht="75" x14ac:dyDescent="0.25">
      <c r="A5" s="6" t="str">
        <v>Actual gross</v>
      </c>
      <c r="B5" s="9" t="s">
        <v>156</v>
      </c>
      <c r="C5" s="9" t="s">
        <v>157</v>
      </c>
    </row>
    <row r="6" spans="1:3" ht="60" x14ac:dyDescent="0.25">
      <c r="A6" s="6" t="str">
        <v>Adjusted gross (in 2022 dollars)</v>
      </c>
      <c r="B6" s="9" t="s">
        <v>163</v>
      </c>
      <c r="C6" s="9" t="s">
        <v>164</v>
      </c>
    </row>
    <row r="7" spans="1:3" ht="30" x14ac:dyDescent="0.25">
      <c r="A7" s="6" t="str">
        <v>Artist</v>
      </c>
      <c r="B7" s="9" t="s">
        <v>158</v>
      </c>
      <c r="C7" s="8" t="s">
        <v>150</v>
      </c>
    </row>
    <row r="8" spans="1:3" ht="60" x14ac:dyDescent="0.25">
      <c r="A8" s="6" t="str">
        <v>Tour title</v>
      </c>
      <c r="B8" s="9" t="s">
        <v>159</v>
      </c>
      <c r="C8" s="9" t="s">
        <v>160</v>
      </c>
    </row>
    <row r="9" spans="1:3" ht="75" x14ac:dyDescent="0.25">
      <c r="A9" s="6" t="str">
        <v>Year(s)</v>
      </c>
      <c r="B9" s="9" t="s">
        <v>161</v>
      </c>
      <c r="C9" s="9" t="s">
        <v>162</v>
      </c>
    </row>
    <row r="10" spans="1:3" ht="30" x14ac:dyDescent="0.25">
      <c r="A10" s="6" t="str">
        <v>Shows</v>
      </c>
      <c r="B10" s="9" t="s">
        <v>155</v>
      </c>
      <c r="C10" s="8" t="s">
        <v>150</v>
      </c>
    </row>
    <row r="11" spans="1:3" ht="60" x14ac:dyDescent="0.25">
      <c r="A11" s="6" t="str">
        <v>Average gross</v>
      </c>
      <c r="B11" s="9" t="s">
        <v>163</v>
      </c>
      <c r="C11" s="9" t="s">
        <v>164</v>
      </c>
    </row>
    <row r="12" spans="1:3" ht="45" x14ac:dyDescent="0.25">
      <c r="A12" s="6" t="str">
        <v>Ref.</v>
      </c>
      <c r="B12" s="7" t="s">
        <v>165</v>
      </c>
      <c r="C12" s="9" t="s">
        <v>166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1D8303-A814-4694-BCF5-ABAB7DF53C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RAW_IMPORT</vt:lpstr>
      <vt:lpstr>CLEAN_TABLE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eddy belingheri</dc:creator>
  <cp:lastModifiedBy>eddy belingheri</cp:lastModifiedBy>
  <dcterms:created xsi:type="dcterms:W3CDTF">2026-03-17T13:43:03Z</dcterms:created>
  <dcterms:modified xsi:type="dcterms:W3CDTF">2026-03-18T08:37:28Z</dcterms:modified>
</cp:coreProperties>
</file>